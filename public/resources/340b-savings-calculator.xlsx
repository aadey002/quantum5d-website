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re Savings" state="visible" r:id="rId4"/>
    <sheet sheetId="2" name="Net Savings" state="visible" r:id="rId5"/>
    <sheet sheetId="3" name="ROI Projection" state="visible" r:id="rId6"/>
    <sheet sheetId="4" name="Contract Pharmacy" state="visible" r:id="rId7"/>
    <sheet sheetId="5" name="Payer Mix" state="visible" r:id="rId8"/>
    <sheet sheetId="6" name="KPI Dashboard" state="visible" r:id="rId9"/>
    <sheet sheetId="7" name="Mfr Restrictions" state="visible" r:id="rId10"/>
    <sheet sheetId="8" name="Reinvestment" state="visible" r:id="rId11"/>
    <sheet sheetId="9" name="Formula Reference" state="visible" r:id="rId12"/>
  </sheets>
  <calcPr calcId="171027"/>
</workbook>
</file>

<file path=xl/sharedStrings.xml><?xml version="1.0" encoding="utf-8"?>
<sst xmlns="http://schemas.openxmlformats.org/spreadsheetml/2006/main" count="348" uniqueCount="296">
  <si>
    <t>340B Savings Calculator — Core Per-Drug Analysis</t>
  </si>
  <si>
    <t>Enter your values in the yellow cells. Calculated fields update automatically.</t>
  </si>
  <si>
    <t>Single Drug Calculation</t>
  </si>
  <si>
    <t>Variable</t>
  </si>
  <si>
    <t>Description</t>
  </si>
  <si>
    <t>Example</t>
  </si>
  <si>
    <t>Your Drug 1</t>
  </si>
  <si>
    <t>Your Drug 2</t>
  </si>
  <si>
    <t>Your Drug 3</t>
  </si>
  <si>
    <t>A. WAC per unit</t>
  </si>
  <si>
    <t>Wholesale Acquisition Cost</t>
  </si>
  <si>
    <t>B. 340B Ceiling Price per unit</t>
  </si>
  <si>
    <t>From HRSA 340B OPAIS</t>
  </si>
  <si>
    <t>C. Per-unit savings</t>
  </si>
  <si>
    <t>A - B</t>
  </si>
  <si>
    <t>D. Annual units dispensed</t>
  </si>
  <si>
    <t>Total units per year</t>
  </si>
  <si>
    <t>E. Annual gross savings</t>
  </si>
  <si>
    <t>C x D</t>
  </si>
  <si>
    <t>Portfolio Analysis — Enter Your Top Drug Categories</t>
  </si>
  <si>
    <t>Drug Category</t>
  </si>
  <si>
    <t>Avg WAC/Rx</t>
  </si>
  <si>
    <t>Avg 340B Price/Rx</t>
  </si>
  <si>
    <t>Savings/Rx</t>
  </si>
  <si>
    <t>Annual Rxs</t>
  </si>
  <si>
    <t>Annual Savings</t>
  </si>
  <si>
    <t>Specialty (Biologics)</t>
  </si>
  <si>
    <t>Brand Oral Solids</t>
  </si>
  <si>
    <t>Brand Injectables</t>
  </si>
  <si>
    <t>Generic Oral Solids</t>
  </si>
  <si>
    <t>OTC / Low-Cost Generics</t>
  </si>
  <si>
    <t>Custom Category 1</t>
  </si>
  <si>
    <t>Custom Category 2</t>
  </si>
  <si>
    <t>Custom Category 3</t>
  </si>
  <si>
    <t>TOTAL PORTFOLIO GROSS SAVINGS</t>
  </si>
  <si>
    <t/>
  </si>
  <si>
    <t>Tip: Most organizations find 10-20 high-cost specialty drugs generate 60-80% of total 340B savings.</t>
  </si>
  <si>
    <t>Benchmark: WAC discounts typically range 25-50% for brand drugs, up to 99%+ for penny-priced generics.</t>
  </si>
  <si>
    <t>Net 340B Savings — Program Cost Analysis</t>
  </si>
  <si>
    <t>Enter your annual program costs in the yellow cells below.</t>
  </si>
  <si>
    <t>Line Item</t>
  </si>
  <si>
    <t>Formula / Source</t>
  </si>
  <si>
    <t>Your Value</t>
  </si>
  <si>
    <t>A. Total Gross Savings</t>
  </si>
  <si>
    <t>From Core Savings sheet</t>
  </si>
  <si>
    <t>B. TPA Fees</t>
  </si>
  <si>
    <t>Per-claim fee x total claims</t>
  </si>
  <si>
    <t>C. Staff Costs (340B Coordinator)</t>
  </si>
  <si>
    <t>FTE salary + benefits</t>
  </si>
  <si>
    <t>D. Compliance &amp; Training</t>
  </si>
  <si>
    <t>Policy dev, staff training, HRSA readiness</t>
  </si>
  <si>
    <t>E. Annual Audit Costs</t>
  </si>
  <si>
    <t>Self-audit or independent audit</t>
  </si>
  <si>
    <t>F. Contract Pharmacy Dispensing Fees</t>
  </si>
  <si>
    <t>Dispensing fee x CP volume</t>
  </si>
  <si>
    <t>G. Software &amp; IT</t>
  </si>
  <si>
    <t>Accumulator, split-billing, reporting</t>
  </si>
  <si>
    <t>H. Legal / Regulatory</t>
  </si>
  <si>
    <t>Contract review, dispute response</t>
  </si>
  <si>
    <t>I. Total Program Costs</t>
  </si>
  <si>
    <t>B + C + D + E + F + G + H</t>
  </si>
  <si>
    <t>J. Net 340B Savings</t>
  </si>
  <si>
    <t>A - I</t>
  </si>
  <si>
    <t>K. Net Savings Ratio</t>
  </si>
  <si>
    <t>J / A (target &gt;= 70%)</t>
  </si>
  <si>
    <t>Benchmark: Well-managed 340B programs achieve 70-85% net savings ratio. Below 60% = review TPA fees and CP arrangements.</t>
  </si>
  <si>
    <t>Program Cost Benchmarks (Reference)</t>
  </si>
  <si>
    <t>Cost Category</t>
  </si>
  <si>
    <t>Typical Annual Range</t>
  </si>
  <si>
    <t>Notes</t>
  </si>
  <si>
    <t>Third-Party Administrator (TPA)</t>
  </si>
  <si>
    <t>$30,000 - $150,000</t>
  </si>
  <si>
    <t>Often $2-$5 per claim</t>
  </si>
  <si>
    <t>340B Coordinator / Staff</t>
  </si>
  <si>
    <t>$55,000 - $95,000</t>
  </si>
  <si>
    <t>Salary + benefits for dedicated FTE</t>
  </si>
  <si>
    <t>Compliance &amp; Training</t>
  </si>
  <si>
    <t>$5,000 - $25,000</t>
  </si>
  <si>
    <t>Policy development, staff training</t>
  </si>
  <si>
    <t>Annual Audit</t>
  </si>
  <si>
    <t>$15,000 - $50,000</t>
  </si>
  <si>
    <t>Contract Pharmacy Fees</t>
  </si>
  <si>
    <t>$3 - $8 per Rx dispensed</t>
  </si>
  <si>
    <t>Dispensing fee paid to contract pharmacy</t>
  </si>
  <si>
    <t>Software / Split-Billing</t>
  </si>
  <si>
    <t>$10,000 - $40,000</t>
  </si>
  <si>
    <t>Accumulator, inventory, reporting</t>
  </si>
  <si>
    <t>Legal / Regulatory</t>
  </si>
  <si>
    <t>$5,000 - $20,000</t>
  </si>
  <si>
    <t>3-Year ROI Projection</t>
  </si>
  <si>
    <t>Enter your assumptions in yellow cells. ROI calculates automatically.</t>
  </si>
  <si>
    <t>Your Assumptions</t>
  </si>
  <si>
    <t>Assumption</t>
  </si>
  <si>
    <t>Year 1</t>
  </si>
  <si>
    <t>Year 2</t>
  </si>
  <si>
    <t>Year 3</t>
  </si>
  <si>
    <t>340B-Eligible Rxs</t>
  </si>
  <si>
    <t>Avg Savings per Rx</t>
  </si>
  <si>
    <t>Total Program Costs</t>
  </si>
  <si>
    <t>Calculated Results</t>
  </si>
  <si>
    <t>Metric</t>
  </si>
  <si>
    <t>Gross Savings</t>
  </si>
  <si>
    <t>Net Savings</t>
  </si>
  <si>
    <t>ROI</t>
  </si>
  <si>
    <t>Cumulative Net Savings</t>
  </si>
  <si>
    <t>ROI Scenario Reference</t>
  </si>
  <si>
    <t>Scenario</t>
  </si>
  <si>
    <t>Net Savings Range</t>
  </si>
  <si>
    <t>Program Cost Range</t>
  </si>
  <si>
    <t>Typical ROI</t>
  </si>
  <si>
    <t>Conservative</t>
  </si>
  <si>
    <t>$500K - $700K</t>
  </si>
  <si>
    <t>$180K - $220K</t>
  </si>
  <si>
    <t>175-250%</t>
  </si>
  <si>
    <t>Base Case</t>
  </si>
  <si>
    <t>$800K - $1.2M</t>
  </si>
  <si>
    <t>$190K - $230K</t>
  </si>
  <si>
    <t>300-420%</t>
  </si>
  <si>
    <t>Optimistic</t>
  </si>
  <si>
    <t>$1.5M - $3.0M</t>
  </si>
  <si>
    <t>$220K - $300K</t>
  </si>
  <si>
    <t>500-900%</t>
  </si>
  <si>
    <t>Even under conservative assumptions, 340B ROI typically exceeds 150% — one of the highest-return programs for safety-net providers.</t>
  </si>
  <si>
    <t>Contract Pharmacy Profitability Analysis</t>
  </si>
  <si>
    <t>Enter data for each contract pharmacy in yellow cells. Profitability calculates automatically.</t>
  </si>
  <si>
    <t>Pharmacy A</t>
  </si>
  <si>
    <t>Pharmacy B</t>
  </si>
  <si>
    <t>Pharmacy C</t>
  </si>
  <si>
    <t>Pharmacy D</t>
  </si>
  <si>
    <t>Monthly 340B Rxs</t>
  </si>
  <si>
    <t>Monthly Gross Savings</t>
  </si>
  <si>
    <t>Dispensing Fee per Rx</t>
  </si>
  <si>
    <t>TPA Fee per Claim</t>
  </si>
  <si>
    <t>Monthly Costs</t>
  </si>
  <si>
    <t>Monthly Net Contribution</t>
  </si>
  <si>
    <t>Annualized Net Contribution</t>
  </si>
  <si>
    <t>Cost-to-Savings Ratio</t>
  </si>
  <si>
    <t>Decision Rule: Retain if cost-to-savings ratio &lt; 25%. Review if 25-30%. Consider exiting if &gt; 30%.</t>
  </si>
  <si>
    <t>Also consider mission factors — a low-volume pharmacy may serve patients with limited 340B access.</t>
  </si>
  <si>
    <t>Contract Pharmacy Evaluation Scorecard</t>
  </si>
  <si>
    <t>Criteria</t>
  </si>
  <si>
    <t>Weight</t>
  </si>
  <si>
    <t>Score (1-5)</t>
  </si>
  <si>
    <t>Weighted Score</t>
  </si>
  <si>
    <t>Scoring Guide</t>
  </si>
  <si>
    <t>Financial Contribution</t>
  </si>
  <si>
    <t>5 = Net &gt; $15K/mo; 1 = Net loss</t>
  </si>
  <si>
    <t>Patient Access Impact</t>
  </si>
  <si>
    <t>5 = Only pharmacy in 5 mi; 1 = Many alternatives</t>
  </si>
  <si>
    <t>Compliance Track Record</t>
  </si>
  <si>
    <t>5 = Zero issues 2+ yrs; 1 = Repeat findings</t>
  </si>
  <si>
    <t>Data Quality &amp; Timeliness</t>
  </si>
  <si>
    <t>5 = Real-time; 1 = Monthly batch, &gt;5% errors</t>
  </si>
  <si>
    <t>Manufacturer Restriction Risk</t>
  </si>
  <si>
    <t>5 = Minimal restricted drugs; 1 = Heavily affected</t>
  </si>
  <si>
    <t>TOTAL WEIGHTED SCORE</t>
  </si>
  <si>
    <t>Retain &gt;= 3.5; Review 2.5-3.4; Exit &lt; 2.5</t>
  </si>
  <si>
    <t>Payer Mix Impact Analysis</t>
  </si>
  <si>
    <t>Understanding how your payer mix drives 340B savings potential.</t>
  </si>
  <si>
    <t>Payer</t>
  </si>
  <si>
    <t>340B Eligible?</t>
  </si>
  <si>
    <t>Typical Reimbursement</t>
  </si>
  <si>
    <t>340B Cost Basis</t>
  </si>
  <si>
    <t>Margin Opportunity</t>
  </si>
  <si>
    <t>Commercial / Private</t>
  </si>
  <si>
    <t>Yes</t>
  </si>
  <si>
    <t>AWP - 12% to AWP - 18%</t>
  </si>
  <si>
    <t>340B ceiling price</t>
  </si>
  <si>
    <t>Highest</t>
  </si>
  <si>
    <t>Medicare Part B</t>
  </si>
  <si>
    <t>ASP + 6%</t>
  </si>
  <si>
    <t>High</t>
  </si>
  <si>
    <t>Medicaid FFS</t>
  </si>
  <si>
    <t>Exclusion applies*</t>
  </si>
  <si>
    <t>State MAC / FUL</t>
  </si>
  <si>
    <t>Must exclude or forgo rebate</t>
  </si>
  <si>
    <t>None (if carved in)</t>
  </si>
  <si>
    <t>Medicaid Managed Care</t>
  </si>
  <si>
    <t>Varies by state</t>
  </si>
  <si>
    <t>PBM contract rates</t>
  </si>
  <si>
    <t>340B if carved out</t>
  </si>
  <si>
    <t>Moderate (if carved out)</t>
  </si>
  <si>
    <t>Uninsured / Sliding Fee</t>
  </si>
  <si>
    <t>Patient pays reduced</t>
  </si>
  <si>
    <t>Mission-driven</t>
  </si>
  <si>
    <t>* To prevent duplicate discounts, Medicaid FFS must be carved in (forgo rebate) or carved out (non-340B pricing).</t>
  </si>
  <si>
    <t>Your Payer Mix — Enter Your Data</t>
  </si>
  <si>
    <t>340B Rxs/Year</t>
  </si>
  <si>
    <t>Avg Savings/Rx</t>
  </si>
  <si>
    <t>% of Total</t>
  </si>
  <si>
    <t>Commercial</t>
  </si>
  <si>
    <t>Medicaid (carved out)</t>
  </si>
  <si>
    <t>Uninsured/Sliding Fee</t>
  </si>
  <si>
    <t>Other</t>
  </si>
  <si>
    <t>TOTAL</t>
  </si>
  <si>
    <t>Tip: Biggest 340B margin comes from commercial payers. If commercial &lt; 20% of eligible Rxs, explore CP strategies for commercially insured patients.</t>
  </si>
  <si>
    <t>340B Program KPI Dashboard</t>
  </si>
  <si>
    <t>Track these metrics monthly. Enter your current values to compare against benchmarks.</t>
  </si>
  <si>
    <t>KPI</t>
  </si>
  <si>
    <t>What It Measures</t>
  </si>
  <si>
    <t>Benchmark</t>
  </si>
  <si>
    <t>Red Flag</t>
  </si>
  <si>
    <t>340B Capture Rate</t>
  </si>
  <si>
    <t>% of eligible Rxs purchased at 340B pricing</t>
  </si>
  <si>
    <t>85-95%</t>
  </si>
  <si>
    <t>&lt; 75%</t>
  </si>
  <si>
    <t>Net Savings Ratio</t>
  </si>
  <si>
    <t>Net savings as % of gross savings</t>
  </si>
  <si>
    <t>70-85%</t>
  </si>
  <si>
    <t>&lt; 60%</t>
  </si>
  <si>
    <t>Cost per 340B Rx</t>
  </si>
  <si>
    <t>Total program cost / 340B Rxs processed</t>
  </si>
  <si>
    <t>$6 - $12</t>
  </si>
  <si>
    <t>&gt; $18</t>
  </si>
  <si>
    <t>Savings per Eligible Patient</t>
  </si>
  <si>
    <t>Net savings / unique eligible patients</t>
  </si>
  <si>
    <t>$80 - $250</t>
  </si>
  <si>
    <t>&lt; $50</t>
  </si>
  <si>
    <t>Contract Pharmacy Yield</t>
  </si>
  <si>
    <t>CP net savings as % of total net savings</t>
  </si>
  <si>
    <t>30-60%</t>
  </si>
  <si>
    <t>&lt; 15%</t>
  </si>
  <si>
    <t>Compliance Score</t>
  </si>
  <si>
    <t>Self-audit pass rate</t>
  </si>
  <si>
    <t>90-100%</t>
  </si>
  <si>
    <t>&lt; 80%</t>
  </si>
  <si>
    <t>Duplicate Discount Rate</t>
  </si>
  <si>
    <t>% of claims flagged for duplicates</t>
  </si>
  <si>
    <t>0 - 0.5%</t>
  </si>
  <si>
    <t>&gt; 1%</t>
  </si>
  <si>
    <t>Capture rate improvement from 75% to 90% on a mid-size FQHC can yield $150K-$400K in additional annual savings.</t>
  </si>
  <si>
    <t>Manufacturer Restriction Impact Calculator</t>
  </si>
  <si>
    <t>30+ manufacturers have imposed restrictions on 340B pricing at contract pharmacies. Quantify your exposure below.</t>
  </si>
  <si>
    <t>Restricted Manufacturer</t>
  </si>
  <si>
    <t>Affected Drug(s)</t>
  </si>
  <si>
    <t>Monthly CP Rxs</t>
  </si>
  <si>
    <t>Savings/Rx Lost</t>
  </si>
  <si>
    <t>Monthly Impact</t>
  </si>
  <si>
    <t>Annual Impact</t>
  </si>
  <si>
    <t>TOTAL:</t>
  </si>
  <si>
    <t>Mitigation Strategies</t>
  </si>
  <si>
    <t>1. Claims-level data submission: Some manufacturers restore pricing when CE submits claims data through designated TPA.</t>
  </si>
  <si>
    <t>2. In-house pharmacy dispensing: Restrictions typically apply only to contract pharmacies. Shift volume to entity-owned pharmacies.</t>
  </si>
  <si>
    <t>3. Therapeutic substitution: Where clinically appropriate, consider formulary alternatives from non-restricting manufacturers.</t>
  </si>
  <si>
    <t>4. HRSA ADR process: File Administrative Dispute Resolution claim if manufacturer violates 340B statute.</t>
  </si>
  <si>
    <t>340B Reinvestment Planning</t>
  </si>
  <si>
    <t>Document how 340B savings support your mission. Enter your planned allocation below.</t>
  </si>
  <si>
    <t>Reinvestment Area</t>
  </si>
  <si>
    <t>Typical Allocation</t>
  </si>
  <si>
    <t>Your Allocation $</t>
  </si>
  <si>
    <t>Examples</t>
  </si>
  <si>
    <t>Patient Assistance Programs</t>
  </si>
  <si>
    <t>15-30%</t>
  </si>
  <si>
    <t>Sliding fee subsidies, copay assistance, free meds</t>
  </si>
  <si>
    <t>Clinical Services Expansion</t>
  </si>
  <si>
    <t>20-35%</t>
  </si>
  <si>
    <t>New providers, extended hours, behavioral health, telehealth</t>
  </si>
  <si>
    <t>Pharmacy Operations</t>
  </si>
  <si>
    <t>10-20%</t>
  </si>
  <si>
    <t>Staffing, technology, medication management programs</t>
  </si>
  <si>
    <t>Infrastructure &amp; Facilities</t>
  </si>
  <si>
    <t>Facility improvements, EHR investment, capital projects</t>
  </si>
  <si>
    <t>Community Health Programs</t>
  </si>
  <si>
    <t>10-15%</t>
  </si>
  <si>
    <t>Outreach, chronic disease management, health education</t>
  </si>
  <si>
    <t>Operational Reserve</t>
  </si>
  <si>
    <t>5-15%</t>
  </si>
  <si>
    <t>Cash reserves, program sustainability funding</t>
  </si>
  <si>
    <t>TOTAL REINVESTMENT</t>
  </si>
  <si>
    <t>Organizations that document a clear line between 340B savings and patient-serving programs fare best under HRSA scrutiny.</t>
  </si>
  <si>
    <t>Quick-Reference Formula Sheet</t>
  </si>
  <si>
    <t>Core formulas every 340B program manager should know.</t>
  </si>
  <si>
    <t>Calculation</t>
  </si>
  <si>
    <t>Formula</t>
  </si>
  <si>
    <t>Per-Drug Savings</t>
  </si>
  <si>
    <t>(WAC - 340B Ceiling Price) x Volume</t>
  </si>
  <si>
    <t>Total Gross Savings</t>
  </si>
  <si>
    <t>Sum of Per-Drug Savings across formulary</t>
  </si>
  <si>
    <t>Gross Savings - Total Program Costs</t>
  </si>
  <si>
    <t>Program ROI</t>
  </si>
  <si>
    <t>(Net Savings - Program Costs) / Program Costs x 100</t>
  </si>
  <si>
    <t>Net Savings / Gross Savings</t>
  </si>
  <si>
    <t>Capture Rate</t>
  </si>
  <si>
    <t>340B Rxs Purchased / Total Eligible Rxs x 100</t>
  </si>
  <si>
    <t>Total Program Cost / 340B Rxs Processed</t>
  </si>
  <si>
    <t>CP Net Contribution</t>
  </si>
  <si>
    <t>CP Savings - (Dispensing Fees + TPA Fees + Admin)</t>
  </si>
  <si>
    <t>CP Cost-to-Savings Ratio</t>
  </si>
  <si>
    <t>CP Costs / CP Gross Savings x 100</t>
  </si>
  <si>
    <t>Mfr Restriction Impact</t>
  </si>
  <si>
    <t>Sum(Restricted CP Volume x Per-Rx Savings Lost)</t>
  </si>
  <si>
    <t>340B Ceiling Price (Brand)</t>
  </si>
  <si>
    <t>AMP - URA (min rebate = 23.1% of AMP)</t>
  </si>
  <si>
    <t>340B Ceiling Price (Generic)</t>
  </si>
  <si>
    <t>AMP - URA (min rebate = 13% of AMP)</t>
  </si>
  <si>
    <t>Created by Dr. Adetoro Oriaifo, PharmD, MBA, FACHE, 340B ACE, CHCEF | Quantum 5D Consulting | quantum5dconsulting.com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</si>
</sst>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11" x14ac:knownFonts="1">
    <font>
      <color theme="1"/>
      <family val="2"/>
      <scheme val="minor"/>
      <sz val="11"/>
      <name val="Calibri"/>
    </font>
    <font>
      <b/>
      <color rgb="4a1d8e"/>
      <sz val="14"/>
    </font>
    <font>
      <i/>
      <color rgb="666666"/>
      <sz val="10"/>
    </font>
    <font>
      <b/>
      <color rgb="FFFFFF"/>
      <sz val="11"/>
    </font>
    <font>
      <b/>
      <color rgb="4a1d8e"/>
    </font>
    <font>
      <b/>
      <color rgb="4a1d8e"/>
      <sz val="12"/>
    </font>
    <font>
      <b/>
    </font>
    <font>
      <b/>
      <sz val="12"/>
    </font>
    <font>
      <color rgb="DC2626"/>
    </font>
    <font>
      <b/>
      <color rgb="DC2626"/>
      <sz val="12"/>
    </font>
    <font>
      <color rgb="166534"/>
      <sz val="11"/>
      <name val="Courier New"/>
    </font>
  </fonts>
  <fills count="6">
    <fill>
      <patternFill patternType="none"/>
    </fill>
    <fill>
      <patternFill patternType="gray125"/>
    </fill>
    <fill>
      <patternFill patternType="solid">
        <fgColor rgb="4a1d8e"/>
      </patternFill>
    </fill>
    <fill>
      <patternFill patternType="solid">
        <fgColor rgb="FEF3C7"/>
      </patternFill>
    </fill>
    <fill>
      <patternFill patternType="solid">
        <fgColor rgb="F0FDF4"/>
      </patternFill>
    </fill>
    <fill>
      <patternFill patternType="solid">
        <fgColor rgb="FEE2E2"/>
      </patternFill>
    </fill>
  </fills>
  <borders count="3">
    <border>
      <left/>
      <right/>
      <top/>
      <bottom/>
      <diagonal/>
    </border>
    <border>
      <left/>
      <right/>
      <top/>
      <bottom style="thin">
        <color rgb="5347A4"/>
      </bottom>
      <diagonal/>
    </border>
    <border>
      <left/>
      <right/>
      <top/>
      <bottom style="thin">
        <color rgb="E5E7EB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0" fillId="3" borderId="2" xfId="0" applyNumberFormat="1" applyFill="1" applyBorder="1"/>
    <xf numFmtId="164" fontId="4" fillId="0" borderId="0" xfId="0" applyNumberFormat="1" applyFont="1"/>
    <xf numFmtId="3" fontId="0" fillId="0" borderId="0" xfId="0" applyNumberFormat="1"/>
    <xf numFmtId="3" fontId="0" fillId="3" borderId="2" xfId="0" applyNumberFormat="1" applyFill="1" applyBorder="1"/>
    <xf numFmtId="0" fontId="5" fillId="0" borderId="0" xfId="0" applyFont="1"/>
    <xf numFmtId="164" fontId="5" fillId="4" borderId="0" xfId="0" applyNumberFormat="1" applyFont="1" applyFill="1"/>
    <xf numFmtId="0" fontId="6" fillId="0" borderId="0" xfId="0" applyFont="1"/>
    <xf numFmtId="0" fontId="7" fillId="0" borderId="0" xfId="0" applyFont="1"/>
    <xf numFmtId="164" fontId="4" fillId="4" borderId="0" xfId="0" applyNumberFormat="1" applyFont="1" applyFill="1"/>
    <xf numFmtId="165" fontId="4" fillId="0" borderId="0" xfId="0" applyNumberFormat="1" applyFont="1"/>
    <xf numFmtId="9" fontId="5" fillId="0" borderId="0" xfId="0" applyNumberFormat="1" applyFont="1"/>
    <xf numFmtId="9" fontId="0" fillId="0" borderId="0" xfId="0" applyNumberFormat="1"/>
    <xf numFmtId="1" fontId="0" fillId="3" borderId="2" xfId="0" applyNumberFormat="1" applyFill="1" applyBorder="1"/>
    <xf numFmtId="2" fontId="4" fillId="0" borderId="0" xfId="0" applyNumberFormat="1" applyFont="1"/>
    <xf numFmtId="0" fontId="2" fillId="0" borderId="0" xfId="0" applyFont="1"/>
    <xf numFmtId="2" fontId="6" fillId="4" borderId="0" xfId="0" applyNumberFormat="1" applyFont="1" applyFill="1"/>
    <xf numFmtId="0" fontId="4" fillId="0" borderId="0" xfId="0" applyFont="1"/>
    <xf numFmtId="165" fontId="0" fillId="0" borderId="0" xfId="0" applyNumberFormat="1"/>
    <xf numFmtId="3" fontId="7" fillId="0" borderId="0" xfId="0" applyNumberFormat="1" applyFont="1"/>
    <xf numFmtId="0" fontId="8" fillId="0" borderId="0" xfId="0" applyFont="1"/>
    <xf numFmtId="165" fontId="0" fillId="3" borderId="2" xfId="0" applyNumberFormat="1" applyFill="1" applyBorder="1"/>
    <xf numFmtId="164" fontId="9" fillId="5" borderId="0" xfId="0" applyNumberFormat="1" applyFont="1" applyFill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5347A4"/>
  </sheetPr>
  <dimension ref="A1:F25"/>
  <sheetFormatPr defaultRowHeight="15" outlineLevelRow="0" outlineLevelCol="0" x14ac:dyDescent="55"/>
  <cols>
    <col min="1" max="1" width="28" customWidth="1"/>
    <col min="2" max="2" width="22" customWidth="1"/>
    <col min="3" max="5" width="18" customWidth="1"/>
    <col min="6" max="6" width="20" customWidth="1"/>
  </cols>
  <sheetData>
    <row r="1" ht="30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ht="30" customHeight="1" spans="1:6" x14ac:dyDescent="0.25">
      <c r="A4" s="1" t="s">
        <v>2</v>
      </c>
      <c r="B4" s="1"/>
      <c r="C4" s="1"/>
      <c r="D4" s="1"/>
      <c r="E4" s="1"/>
      <c r="F4" s="1"/>
    </row>
    <row r="5" ht="28" customHeight="1" spans="1:6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</row>
    <row r="6" spans="1:6" x14ac:dyDescent="0.25">
      <c r="A6" t="s">
        <v>9</v>
      </c>
      <c r="B6" t="s">
        <v>10</v>
      </c>
      <c r="C6" s="4">
        <v>12.5</v>
      </c>
      <c r="D6" s="5"/>
      <c r="E6" s="5"/>
      <c r="F6" s="5"/>
    </row>
    <row r="7" spans="1:6" x14ac:dyDescent="0.25">
      <c r="A7" t="s">
        <v>11</v>
      </c>
      <c r="B7" t="s">
        <v>12</v>
      </c>
      <c r="C7" s="4">
        <v>3.75</v>
      </c>
      <c r="D7" s="5"/>
      <c r="E7" s="5"/>
      <c r="F7" s="5"/>
    </row>
    <row r="8" spans="1:6" x14ac:dyDescent="0.25">
      <c r="A8" t="s">
        <v>13</v>
      </c>
      <c r="B8" t="s">
        <v>14</v>
      </c>
      <c r="C8" s="6">
        <f>C6-C7</f>
      </c>
      <c r="D8" s="6">
        <f>D6-D7</f>
      </c>
      <c r="E8" s="6">
        <f>E6-E7</f>
      </c>
      <c r="F8" s="6">
        <f>F6-F7</f>
      </c>
    </row>
    <row r="9" spans="1:6" x14ac:dyDescent="0.25">
      <c r="A9" t="s">
        <v>15</v>
      </c>
      <c r="B9" t="s">
        <v>16</v>
      </c>
      <c r="C9" s="7">
        <v>2400</v>
      </c>
      <c r="D9" s="8"/>
      <c r="E9" s="8"/>
      <c r="F9" s="8"/>
    </row>
    <row r="10" spans="1:6" x14ac:dyDescent="0.25">
      <c r="A10" t="s">
        <v>17</v>
      </c>
      <c r="B10" t="s">
        <v>18</v>
      </c>
      <c r="C10" s="6">
        <f>C8*C9</f>
      </c>
      <c r="D10" s="6">
        <f>D8*D9</f>
      </c>
      <c r="E10" s="6">
        <f>E8*E9</f>
      </c>
      <c r="F10" s="6">
        <f>F8*F9</f>
      </c>
    </row>
    <row r="12" ht="30" customHeight="1" spans="1:6" x14ac:dyDescent="0.25">
      <c r="A12" s="1" t="s">
        <v>19</v>
      </c>
      <c r="B12" s="1"/>
      <c r="C12" s="1"/>
      <c r="D12" s="1"/>
      <c r="E12" s="1"/>
      <c r="F12" s="1"/>
    </row>
    <row r="13" ht="28" customHeight="1" spans="1:6" x14ac:dyDescent="0.25">
      <c r="A13" s="3" t="s">
        <v>20</v>
      </c>
      <c r="B13" s="3" t="s">
        <v>21</v>
      </c>
      <c r="C13" s="3" t="s">
        <v>22</v>
      </c>
      <c r="D13" s="3" t="s">
        <v>23</v>
      </c>
      <c r="E13" s="3" t="s">
        <v>24</v>
      </c>
      <c r="F13" s="3" t="s">
        <v>25</v>
      </c>
    </row>
    <row r="14" spans="1:6" x14ac:dyDescent="0.25">
      <c r="A14" t="s">
        <v>26</v>
      </c>
      <c r="B14" s="5"/>
      <c r="C14" s="5"/>
      <c r="D14" s="6">
        <f>B14-C14</f>
      </c>
      <c r="E14" s="8"/>
      <c r="F14" s="6">
        <f>D14*E14</f>
      </c>
    </row>
    <row r="15" spans="1:6" x14ac:dyDescent="0.25">
      <c r="A15" t="s">
        <v>27</v>
      </c>
      <c r="B15" s="5"/>
      <c r="C15" s="5"/>
      <c r="D15" s="6">
        <f>B15-C15</f>
      </c>
      <c r="E15" s="8"/>
      <c r="F15" s="6">
        <f>D15*E15</f>
      </c>
    </row>
    <row r="16" spans="1:6" x14ac:dyDescent="0.25">
      <c r="A16" t="s">
        <v>28</v>
      </c>
      <c r="B16" s="5"/>
      <c r="C16" s="5"/>
      <c r="D16" s="6">
        <f>B16-C16</f>
      </c>
      <c r="E16" s="8"/>
      <c r="F16" s="6">
        <f>D16*E16</f>
      </c>
    </row>
    <row r="17" spans="1:6" x14ac:dyDescent="0.25">
      <c r="A17" t="s">
        <v>29</v>
      </c>
      <c r="B17" s="5"/>
      <c r="C17" s="5"/>
      <c r="D17" s="6">
        <f>B17-C17</f>
      </c>
      <c r="E17" s="8"/>
      <c r="F17" s="6">
        <f>D17*E17</f>
      </c>
    </row>
    <row r="18" spans="1:6" x14ac:dyDescent="0.25">
      <c r="A18" t="s">
        <v>30</v>
      </c>
      <c r="B18" s="5"/>
      <c r="C18" s="5"/>
      <c r="D18" s="6">
        <f>B18-C18</f>
      </c>
      <c r="E18" s="8"/>
      <c r="F18" s="6">
        <f>D18*E18</f>
      </c>
    </row>
    <row r="19" spans="1:6" x14ac:dyDescent="0.25">
      <c r="A19" t="s">
        <v>31</v>
      </c>
      <c r="B19" s="5"/>
      <c r="C19" s="5"/>
      <c r="D19" s="6">
        <f>B19-C19</f>
      </c>
      <c r="E19" s="8"/>
      <c r="F19" s="6">
        <f>D19*E19</f>
      </c>
    </row>
    <row r="20" spans="1:6" x14ac:dyDescent="0.25">
      <c r="A20" t="s">
        <v>32</v>
      </c>
      <c r="B20" s="5"/>
      <c r="C20" s="5"/>
      <c r="D20" s="6">
        <f>B20-C20</f>
      </c>
      <c r="E20" s="8"/>
      <c r="F20" s="6">
        <f>D20*E20</f>
      </c>
    </row>
    <row r="21" spans="1:6" x14ac:dyDescent="0.25">
      <c r="A21" t="s">
        <v>33</v>
      </c>
      <c r="B21" s="5"/>
      <c r="C21" s="5"/>
      <c r="D21" s="6">
        <f>B21-C21</f>
      </c>
      <c r="E21" s="8"/>
      <c r="F21" s="6">
        <f>D21*E21</f>
      </c>
    </row>
    <row r="22" spans="1:6" s="9" customFormat="1" x14ac:dyDescent="0.25">
      <c r="A22" s="9" t="s">
        <v>34</v>
      </c>
      <c r="B22" s="9" t="s">
        <v>35</v>
      </c>
      <c r="C22" s="9" t="s">
        <v>35</v>
      </c>
      <c r="D22" s="9" t="s">
        <v>35</v>
      </c>
      <c r="E22" s="9" t="s">
        <v>35</v>
      </c>
      <c r="F22" s="10">
        <f>SUM(F14:F21)</f>
      </c>
    </row>
    <row r="24" spans="1:6" x14ac:dyDescent="0.25">
      <c r="A24" s="2" t="s">
        <v>36</v>
      </c>
      <c r="B24" s="2"/>
      <c r="C24" s="2"/>
      <c r="D24" s="2"/>
      <c r="E24" s="2"/>
      <c r="F24" s="2"/>
    </row>
    <row r="25" spans="1:6" x14ac:dyDescent="0.25">
      <c r="A25" s="2" t="s">
        <v>37</v>
      </c>
      <c r="B25" s="2"/>
      <c r="C25" s="2"/>
      <c r="D25" s="2"/>
      <c r="E25" s="2"/>
      <c r="F25" s="2"/>
    </row>
  </sheetData>
  <mergeCells count="6">
    <mergeCell ref="A1:F1"/>
    <mergeCell ref="A2:F2"/>
    <mergeCell ref="A4:F4"/>
    <mergeCell ref="A12:F12"/>
    <mergeCell ref="A24:F24"/>
    <mergeCell ref="A25:F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0B981"/>
  </sheetPr>
  <dimension ref="A1:C28"/>
  <sheetFormatPr defaultRowHeight="15" outlineLevelRow="0" outlineLevelCol="0" x14ac:dyDescent="55"/>
  <cols>
    <col min="1" max="1" width="35" customWidth="1"/>
    <col min="2" max="2" width="30" customWidth="1"/>
    <col min="3" max="3" width="22" customWidth="1"/>
  </cols>
  <sheetData>
    <row r="1" ht="30" customHeight="1" spans="1:3" x14ac:dyDescent="0.25">
      <c r="A1" s="1" t="s">
        <v>38</v>
      </c>
      <c r="B1" s="1"/>
      <c r="C1" s="1"/>
    </row>
    <row r="2" spans="1:3" x14ac:dyDescent="0.25">
      <c r="A2" s="2" t="s">
        <v>39</v>
      </c>
      <c r="B2" s="2"/>
      <c r="C2" s="2"/>
    </row>
    <row r="4" ht="28" customHeight="1" spans="1:3" x14ac:dyDescent="0.25">
      <c r="A4" s="3" t="s">
        <v>40</v>
      </c>
      <c r="B4" s="3" t="s">
        <v>41</v>
      </c>
      <c r="C4" s="3" t="s">
        <v>42</v>
      </c>
    </row>
    <row r="5" spans="1:3" x14ac:dyDescent="0.25">
      <c r="A5" t="s">
        <v>43</v>
      </c>
      <c r="B5" t="s">
        <v>44</v>
      </c>
      <c r="C5" s="6">
        <f>'Core Savings'!F22</f>
      </c>
    </row>
    <row r="6" spans="1:3" x14ac:dyDescent="0.25">
      <c r="A6" t="s">
        <v>45</v>
      </c>
      <c r="B6" t="s">
        <v>46</v>
      </c>
      <c r="C6" s="5"/>
    </row>
    <row r="7" spans="1:3" x14ac:dyDescent="0.25">
      <c r="A7" t="s">
        <v>47</v>
      </c>
      <c r="B7" t="s">
        <v>48</v>
      </c>
      <c r="C7" s="5"/>
    </row>
    <row r="8" spans="1:3" x14ac:dyDescent="0.25">
      <c r="A8" t="s">
        <v>49</v>
      </c>
      <c r="B8" t="s">
        <v>50</v>
      </c>
      <c r="C8" s="5"/>
    </row>
    <row r="9" spans="1:3" x14ac:dyDescent="0.25">
      <c r="A9" t="s">
        <v>51</v>
      </c>
      <c r="B9" t="s">
        <v>52</v>
      </c>
      <c r="C9" s="5"/>
    </row>
    <row r="10" spans="1:3" x14ac:dyDescent="0.25">
      <c r="A10" t="s">
        <v>53</v>
      </c>
      <c r="B10" t="s">
        <v>54</v>
      </c>
      <c r="C10" s="5"/>
    </row>
    <row r="11" spans="1:3" x14ac:dyDescent="0.25">
      <c r="A11" t="s">
        <v>55</v>
      </c>
      <c r="B11" t="s">
        <v>56</v>
      </c>
      <c r="C11" s="5"/>
    </row>
    <row r="12" spans="1:3" x14ac:dyDescent="0.25">
      <c r="A12" t="s">
        <v>57</v>
      </c>
      <c r="B12" t="s">
        <v>58</v>
      </c>
      <c r="C12" s="5"/>
    </row>
    <row r="14" spans="1:3" s="11" customFormat="1" x14ac:dyDescent="0.25">
      <c r="A14" s="11" t="s">
        <v>59</v>
      </c>
      <c r="B14" s="11" t="s">
        <v>60</v>
      </c>
      <c r="C14" s="6">
        <f>SUM(C6:C12)</f>
      </c>
    </row>
    <row r="15" spans="1:3" s="12" customFormat="1" x14ac:dyDescent="0.25">
      <c r="A15" s="12" t="s">
        <v>61</v>
      </c>
      <c r="B15" s="12" t="s">
        <v>62</v>
      </c>
      <c r="C15" s="13">
        <f>C5-C14</f>
      </c>
    </row>
    <row r="16" spans="1:3" s="11" customFormat="1" x14ac:dyDescent="0.25">
      <c r="A16" s="11" t="s">
        <v>63</v>
      </c>
      <c r="B16" s="11" t="s">
        <v>64</v>
      </c>
      <c r="C16" s="14">
        <f>IF(C5=0,"N/A",C15/C5)</f>
      </c>
    </row>
    <row r="18" spans="1:3" x14ac:dyDescent="0.25">
      <c r="A18" s="2" t="s">
        <v>65</v>
      </c>
      <c r="B18" s="2"/>
      <c r="C18" s="2"/>
    </row>
    <row r="20" ht="30" customHeight="1" spans="1:3" x14ac:dyDescent="0.25">
      <c r="A20" s="1" t="s">
        <v>66</v>
      </c>
      <c r="B20" s="1"/>
      <c r="C20" s="1"/>
    </row>
    <row r="21" ht="28" customHeight="1" spans="1:3" x14ac:dyDescent="0.25">
      <c r="A21" s="3" t="s">
        <v>67</v>
      </c>
      <c r="B21" s="3" t="s">
        <v>68</v>
      </c>
      <c r="C21" s="3" t="s">
        <v>69</v>
      </c>
    </row>
    <row r="22" spans="1:3" x14ac:dyDescent="0.25">
      <c r="A22" s="11" t="s">
        <v>70</v>
      </c>
      <c r="B22" t="s">
        <v>71</v>
      </c>
      <c r="C22" t="s">
        <v>72</v>
      </c>
    </row>
    <row r="23" spans="1:3" x14ac:dyDescent="0.25">
      <c r="A23" s="11" t="s">
        <v>73</v>
      </c>
      <c r="B23" t="s">
        <v>74</v>
      </c>
      <c r="C23" t="s">
        <v>75</v>
      </c>
    </row>
    <row r="24" spans="1:3" x14ac:dyDescent="0.25">
      <c r="A24" s="11" t="s">
        <v>76</v>
      </c>
      <c r="B24" t="s">
        <v>77</v>
      </c>
      <c r="C24" t="s">
        <v>78</v>
      </c>
    </row>
    <row r="25" spans="1:3" x14ac:dyDescent="0.25">
      <c r="A25" s="11" t="s">
        <v>79</v>
      </c>
      <c r="B25" t="s">
        <v>80</v>
      </c>
      <c r="C25" t="s">
        <v>52</v>
      </c>
    </row>
    <row r="26" spans="1:3" x14ac:dyDescent="0.25">
      <c r="A26" s="11" t="s">
        <v>81</v>
      </c>
      <c r="B26" t="s">
        <v>82</v>
      </c>
      <c r="C26" t="s">
        <v>83</v>
      </c>
    </row>
    <row r="27" spans="1:3" x14ac:dyDescent="0.25">
      <c r="A27" s="11" t="s">
        <v>84</v>
      </c>
      <c r="B27" t="s">
        <v>85</v>
      </c>
      <c r="C27" t="s">
        <v>86</v>
      </c>
    </row>
    <row r="28" spans="1:3" x14ac:dyDescent="0.25">
      <c r="A28" s="11" t="s">
        <v>87</v>
      </c>
      <c r="B28" t="s">
        <v>88</v>
      </c>
      <c r="C28" t="s">
        <v>58</v>
      </c>
    </row>
  </sheetData>
  <mergeCells count="4">
    <mergeCell ref="A1:C1"/>
    <mergeCell ref="A2:C2"/>
    <mergeCell ref="A18:C18"/>
    <mergeCell ref="A20:C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3B82F6"/>
  </sheetPr>
  <dimension ref="A1:D22"/>
  <sheetFormatPr defaultRowHeight="15" outlineLevelRow="0" outlineLevelCol="0" x14ac:dyDescent="55"/>
  <cols>
    <col min="1" max="1" width="30" customWidth="1"/>
    <col min="2" max="4" width="20" customWidth="1"/>
  </cols>
  <sheetData>
    <row r="1" ht="30" customHeight="1" spans="1:4" x14ac:dyDescent="0.25">
      <c r="A1" s="1" t="s">
        <v>89</v>
      </c>
      <c r="B1" s="1"/>
      <c r="C1" s="1"/>
      <c r="D1" s="1"/>
    </row>
    <row r="2" spans="1:4" x14ac:dyDescent="0.25">
      <c r="A2" s="2" t="s">
        <v>90</v>
      </c>
      <c r="B2" s="2"/>
      <c r="C2" s="2"/>
      <c r="D2" s="2"/>
    </row>
    <row r="4" ht="30" customHeight="1" spans="1:4" x14ac:dyDescent="0.25">
      <c r="A4" s="1" t="s">
        <v>91</v>
      </c>
      <c r="B4" s="1"/>
      <c r="C4" s="1"/>
      <c r="D4" s="1"/>
    </row>
    <row r="5" ht="28" customHeight="1" spans="1:4" x14ac:dyDescent="0.25">
      <c r="A5" s="3" t="s">
        <v>92</v>
      </c>
      <c r="B5" s="3" t="s">
        <v>93</v>
      </c>
      <c r="C5" s="3" t="s">
        <v>94</v>
      </c>
      <c r="D5" s="3" t="s">
        <v>95</v>
      </c>
    </row>
    <row r="6" spans="1:4" x14ac:dyDescent="0.25">
      <c r="A6" t="s">
        <v>96</v>
      </c>
      <c r="B6" s="8"/>
      <c r="C6" s="8"/>
      <c r="D6" s="8"/>
    </row>
    <row r="7" spans="1:4" x14ac:dyDescent="0.25">
      <c r="A7" t="s">
        <v>97</v>
      </c>
      <c r="B7" s="5"/>
      <c r="C7" s="5"/>
      <c r="D7" s="5"/>
    </row>
    <row r="8" spans="1:4" x14ac:dyDescent="0.25">
      <c r="A8" t="s">
        <v>98</v>
      </c>
      <c r="B8" s="5"/>
      <c r="C8" s="5"/>
      <c r="D8" s="5"/>
    </row>
    <row r="10" ht="30" customHeight="1" spans="1:4" x14ac:dyDescent="0.25">
      <c r="A10" s="1" t="s">
        <v>99</v>
      </c>
      <c r="B10" s="1"/>
      <c r="C10" s="1"/>
      <c r="D10" s="1"/>
    </row>
    <row r="11" ht="28" customHeight="1" spans="1:4" x14ac:dyDescent="0.25">
      <c r="A11" s="3" t="s">
        <v>100</v>
      </c>
      <c r="B11" s="3" t="s">
        <v>93</v>
      </c>
      <c r="C11" s="3" t="s">
        <v>94</v>
      </c>
      <c r="D11" s="3" t="s">
        <v>95</v>
      </c>
    </row>
    <row r="12" spans="1:4" x14ac:dyDescent="0.25">
      <c r="A12" t="s">
        <v>101</v>
      </c>
      <c r="B12" s="6">
        <f>B6*B7</f>
      </c>
      <c r="C12" s="6">
        <f>C6*C7</f>
      </c>
      <c r="D12" s="6">
        <f>D6*D7</f>
      </c>
    </row>
    <row r="13" spans="1:4" x14ac:dyDescent="0.25">
      <c r="A13" t="s">
        <v>102</v>
      </c>
      <c r="B13" s="13">
        <f>B12-B8</f>
      </c>
      <c r="C13" s="13">
        <f>C12-C8</f>
      </c>
      <c r="D13" s="13">
        <f>D12-D8</f>
      </c>
    </row>
    <row r="14" spans="1:4" s="9" customFormat="1" x14ac:dyDescent="0.25">
      <c r="A14" s="9" t="s">
        <v>103</v>
      </c>
      <c r="B14" s="15">
        <f>IF(B8=0,"N/A",(B13/B8))</f>
      </c>
      <c r="C14" s="15">
        <f>IF(C8=0,"N/A",(C13/C8))</f>
      </c>
      <c r="D14" s="15">
        <f>IF(D8=0,"N/A",(D13/D8))</f>
      </c>
    </row>
    <row r="15" spans="1:4" x14ac:dyDescent="0.25">
      <c r="A15" t="s">
        <v>104</v>
      </c>
      <c r="B15" s="6">
        <f>B13</f>
      </c>
      <c r="C15" s="6">
        <f>B13+C13</f>
      </c>
      <c r="D15" s="6">
        <f>B13+C13+D13</f>
      </c>
    </row>
    <row r="17" ht="30" customHeight="1" spans="1:4" x14ac:dyDescent="0.25">
      <c r="A17" s="1" t="s">
        <v>105</v>
      </c>
      <c r="B17" s="1"/>
      <c r="C17" s="1"/>
      <c r="D17" s="1"/>
    </row>
    <row r="18" ht="28" customHeight="1" spans="1:4" x14ac:dyDescent="0.25">
      <c r="A18" s="3" t="s">
        <v>106</v>
      </c>
      <c r="B18" s="3" t="s">
        <v>107</v>
      </c>
      <c r="C18" s="3" t="s">
        <v>108</v>
      </c>
      <c r="D18" s="3" t="s">
        <v>109</v>
      </c>
    </row>
    <row r="19" spans="1:4" x14ac:dyDescent="0.25">
      <c r="A19" t="s">
        <v>110</v>
      </c>
      <c r="B19" t="s">
        <v>111</v>
      </c>
      <c r="C19" t="s">
        <v>112</v>
      </c>
      <c r="D19" t="s">
        <v>113</v>
      </c>
    </row>
    <row r="20" spans="1:4" x14ac:dyDescent="0.25">
      <c r="A20" t="s">
        <v>114</v>
      </c>
      <c r="B20" t="s">
        <v>115</v>
      </c>
      <c r="C20" t="s">
        <v>116</v>
      </c>
      <c r="D20" t="s">
        <v>117</v>
      </c>
    </row>
    <row r="21" spans="1:4" x14ac:dyDescent="0.25">
      <c r="A21" t="s">
        <v>118</v>
      </c>
      <c r="B21" t="s">
        <v>119</v>
      </c>
      <c r="C21" t="s">
        <v>120</v>
      </c>
      <c r="D21" t="s">
        <v>121</v>
      </c>
    </row>
    <row r="22" spans="1:4" x14ac:dyDescent="0.25">
      <c r="A22" s="2" t="s">
        <v>122</v>
      </c>
      <c r="B22" s="2"/>
      <c r="C22" s="2"/>
      <c r="D22" s="2"/>
    </row>
  </sheetData>
  <mergeCells count="6">
    <mergeCell ref="A1:D1"/>
    <mergeCell ref="A2:D2"/>
    <mergeCell ref="A4:D4"/>
    <mergeCell ref="A10:D10"/>
    <mergeCell ref="A17:D17"/>
    <mergeCell ref="A22:D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59E0B"/>
  </sheetPr>
  <dimension ref="A1:E25"/>
  <sheetFormatPr defaultRowHeight="15" outlineLevelRow="0" outlineLevelCol="0" x14ac:dyDescent="55"/>
  <cols>
    <col min="1" max="1" width="28" customWidth="1"/>
    <col min="2" max="5" width="20" customWidth="1"/>
  </cols>
  <sheetData>
    <row r="1" ht="30" customHeight="1" spans="1:5" x14ac:dyDescent="0.25">
      <c r="A1" s="1" t="s">
        <v>123</v>
      </c>
      <c r="B1" s="1"/>
      <c r="C1" s="1"/>
      <c r="D1" s="1"/>
      <c r="E1" s="1"/>
    </row>
    <row r="2" spans="1:5" x14ac:dyDescent="0.25">
      <c r="A2" s="2" t="s">
        <v>124</v>
      </c>
      <c r="B2" s="2"/>
      <c r="C2" s="2"/>
      <c r="D2" s="2"/>
      <c r="E2" s="2"/>
    </row>
    <row r="4" ht="28" customHeight="1" spans="1:5" x14ac:dyDescent="0.25">
      <c r="A4" s="3" t="s">
        <v>100</v>
      </c>
      <c r="B4" s="3" t="s">
        <v>125</v>
      </c>
      <c r="C4" s="3" t="s">
        <v>126</v>
      </c>
      <c r="D4" s="3" t="s">
        <v>127</v>
      </c>
      <c r="E4" s="3" t="s">
        <v>128</v>
      </c>
    </row>
    <row r="5" spans="1:5" x14ac:dyDescent="0.25">
      <c r="A5" t="s">
        <v>129</v>
      </c>
      <c r="B5" s="8"/>
      <c r="C5" s="8"/>
      <c r="D5" s="8"/>
      <c r="E5" s="8"/>
    </row>
    <row r="6" spans="1:5" x14ac:dyDescent="0.25">
      <c r="A6" t="s">
        <v>97</v>
      </c>
      <c r="B6" s="5"/>
      <c r="C6" s="5"/>
      <c r="D6" s="5"/>
      <c r="E6" s="5"/>
    </row>
    <row r="7" spans="1:5" x14ac:dyDescent="0.25">
      <c r="A7" t="s">
        <v>130</v>
      </c>
      <c r="B7" s="6">
        <f>B5*B6</f>
      </c>
      <c r="C7" s="6">
        <f>C5*C6</f>
      </c>
      <c r="D7" s="6">
        <f>D5*D6</f>
      </c>
      <c r="E7" s="6">
        <f>E5*E6</f>
      </c>
    </row>
    <row r="8" spans="1:5" x14ac:dyDescent="0.25">
      <c r="A8" t="s">
        <v>131</v>
      </c>
      <c r="B8" s="5"/>
      <c r="C8" s="5"/>
      <c r="D8" s="5"/>
      <c r="E8" s="5"/>
    </row>
    <row r="9" spans="1:5" x14ac:dyDescent="0.25">
      <c r="A9" t="s">
        <v>132</v>
      </c>
      <c r="B9" s="5"/>
      <c r="C9" s="5"/>
      <c r="D9" s="5"/>
      <c r="E9" s="5"/>
    </row>
    <row r="10" spans="1:5" x14ac:dyDescent="0.25">
      <c r="A10" t="s">
        <v>133</v>
      </c>
      <c r="B10" s="6">
        <f>B5*(B8+B9)</f>
      </c>
      <c r="C10" s="6">
        <f>C5*(C8+C9)</f>
      </c>
      <c r="D10" s="6">
        <f>D5*(D8+D9)</f>
      </c>
      <c r="E10" s="6">
        <f>E5*(E8+E9)</f>
      </c>
    </row>
    <row r="11" spans="1:5" x14ac:dyDescent="0.25">
      <c r="A11" t="s">
        <v>134</v>
      </c>
      <c r="B11" s="13">
        <f>B7-B10</f>
      </c>
      <c r="C11" s="13">
        <f>C7-C10</f>
      </c>
      <c r="D11" s="13">
        <f>D7-D10</f>
      </c>
      <c r="E11" s="13">
        <f>E7-E10</f>
      </c>
    </row>
    <row r="12" spans="1:5" x14ac:dyDescent="0.25">
      <c r="A12" t="s">
        <v>135</v>
      </c>
      <c r="B12" s="6">
        <f>B11*12</f>
      </c>
      <c r="C12" s="6">
        <f>C11*12</f>
      </c>
      <c r="D12" s="6">
        <f>D11*12</f>
      </c>
      <c r="E12" s="6">
        <f>E11*12</f>
      </c>
    </row>
    <row r="13" spans="1:5" x14ac:dyDescent="0.25">
      <c r="A13" t="s">
        <v>136</v>
      </c>
      <c r="B13" s="14">
        <f>IF(B7=0,"N/A",B10/B7)</f>
      </c>
      <c r="C13" s="14">
        <f>IF(C7=0,"N/A",C10/C7)</f>
      </c>
      <c r="D13" s="14">
        <f>IF(D7=0,"N/A",D10/D7)</f>
      </c>
      <c r="E13" s="14">
        <f>IF(E7=0,"N/A",E10/E7)</f>
      </c>
    </row>
    <row r="15" spans="1:5" x14ac:dyDescent="0.25">
      <c r="A15" s="2" t="s">
        <v>137</v>
      </c>
      <c r="B15" s="2"/>
      <c r="C15" s="2"/>
      <c r="D15" s="2"/>
      <c r="E15" s="2"/>
    </row>
    <row r="16" spans="1:5" x14ac:dyDescent="0.25">
      <c r="A16" s="2" t="s">
        <v>138</v>
      </c>
      <c r="B16" s="2"/>
      <c r="C16" s="2"/>
      <c r="D16" s="2"/>
      <c r="E16" s="2"/>
    </row>
    <row r="18" ht="30" customHeight="1" spans="1:5" x14ac:dyDescent="0.25">
      <c r="A18" s="1" t="s">
        <v>139</v>
      </c>
      <c r="B18" s="1"/>
      <c r="C18" s="1"/>
      <c r="D18" s="1"/>
      <c r="E18" s="1"/>
    </row>
    <row r="19" ht="28" customHeight="1" spans="1:5" x14ac:dyDescent="0.25">
      <c r="A19" s="3" t="s">
        <v>140</v>
      </c>
      <c r="B19" s="3" t="s">
        <v>141</v>
      </c>
      <c r="C19" s="3" t="s">
        <v>142</v>
      </c>
      <c r="D19" s="3" t="s">
        <v>143</v>
      </c>
      <c r="E19" s="3" t="s">
        <v>144</v>
      </c>
    </row>
    <row r="20" spans="1:5" x14ac:dyDescent="0.25">
      <c r="A20" t="s">
        <v>145</v>
      </c>
      <c r="B20" s="16">
        <v>0.3</v>
      </c>
      <c r="C20" s="17"/>
      <c r="D20" s="18">
        <f>B20*C20</f>
      </c>
      <c r="E20" s="19" t="s">
        <v>146</v>
      </c>
    </row>
    <row r="21" spans="1:5" x14ac:dyDescent="0.25">
      <c r="A21" t="s">
        <v>147</v>
      </c>
      <c r="B21" s="16">
        <v>0.25</v>
      </c>
      <c r="C21" s="17"/>
      <c r="D21" s="18">
        <f>B21*C21</f>
      </c>
      <c r="E21" s="19" t="s">
        <v>148</v>
      </c>
    </row>
    <row r="22" spans="1:5" x14ac:dyDescent="0.25">
      <c r="A22" t="s">
        <v>149</v>
      </c>
      <c r="B22" s="16">
        <v>0.2</v>
      </c>
      <c r="C22" s="17"/>
      <c r="D22" s="18">
        <f>B22*C22</f>
      </c>
      <c r="E22" s="19" t="s">
        <v>150</v>
      </c>
    </row>
    <row r="23" spans="1:5" x14ac:dyDescent="0.25">
      <c r="A23" t="s">
        <v>151</v>
      </c>
      <c r="B23" s="16">
        <v>0.15</v>
      </c>
      <c r="C23" s="17"/>
      <c r="D23" s="18">
        <f>B23*C23</f>
      </c>
      <c r="E23" s="19" t="s">
        <v>152</v>
      </c>
    </row>
    <row r="24" spans="1:5" x14ac:dyDescent="0.25">
      <c r="A24" t="s">
        <v>153</v>
      </c>
      <c r="B24" s="16">
        <v>0.1</v>
      </c>
      <c r="C24" s="17"/>
      <c r="D24" s="18">
        <f>B24*C24</f>
      </c>
      <c r="E24" s="19" t="s">
        <v>154</v>
      </c>
    </row>
    <row r="25" spans="1:5" s="11" customFormat="1" x14ac:dyDescent="0.25">
      <c r="A25" s="11" t="s">
        <v>155</v>
      </c>
      <c r="B25" s="11" t="s">
        <v>35</v>
      </c>
      <c r="C25" s="11" t="s">
        <v>35</v>
      </c>
      <c r="D25" s="20">
        <f>SUM(D20:D24)</f>
      </c>
      <c r="E25" s="21" t="s">
        <v>156</v>
      </c>
    </row>
  </sheetData>
  <mergeCells count="5">
    <mergeCell ref="A1:E1"/>
    <mergeCell ref="A2:E2"/>
    <mergeCell ref="A15:E15"/>
    <mergeCell ref="A16:E16"/>
    <mergeCell ref="A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8B5CF6"/>
  </sheetPr>
  <dimension ref="A1:E21"/>
  <sheetFormatPr defaultRowHeight="15" outlineLevelRow="0" outlineLevelCol="0" x14ac:dyDescent="55"/>
  <cols>
    <col min="1" max="1" width="25" customWidth="1"/>
    <col min="2" max="2" width="18" customWidth="1"/>
    <col min="3" max="3" width="22" customWidth="1"/>
    <col min="4" max="4" width="20" customWidth="1"/>
    <col min="5" max="5" width="22" customWidth="1"/>
  </cols>
  <sheetData>
    <row r="1" ht="30" customHeight="1" spans="1:5" x14ac:dyDescent="0.25">
      <c r="A1" s="1" t="s">
        <v>157</v>
      </c>
      <c r="B1" s="1"/>
      <c r="C1" s="1"/>
      <c r="D1" s="1"/>
      <c r="E1" s="1"/>
    </row>
    <row r="2" spans="1:5" x14ac:dyDescent="0.25">
      <c r="A2" s="2" t="s">
        <v>158</v>
      </c>
      <c r="B2" s="2"/>
      <c r="C2" s="2"/>
      <c r="D2" s="2"/>
      <c r="E2" s="2"/>
    </row>
    <row r="4" ht="28" customHeight="1" spans="1:5" x14ac:dyDescent="0.25">
      <c r="A4" s="3" t="s">
        <v>159</v>
      </c>
      <c r="B4" s="3" t="s">
        <v>160</v>
      </c>
      <c r="C4" s="3" t="s">
        <v>161</v>
      </c>
      <c r="D4" s="3" t="s">
        <v>162</v>
      </c>
      <c r="E4" s="3" t="s">
        <v>163</v>
      </c>
    </row>
    <row r="5" spans="1:5" x14ac:dyDescent="0.25">
      <c r="A5" s="11" t="s">
        <v>164</v>
      </c>
      <c r="B5" t="s">
        <v>165</v>
      </c>
      <c r="C5" t="s">
        <v>166</v>
      </c>
      <c r="D5" t="s">
        <v>167</v>
      </c>
      <c r="E5" t="s">
        <v>168</v>
      </c>
    </row>
    <row r="6" spans="1:5" x14ac:dyDescent="0.25">
      <c r="A6" s="11" t="s">
        <v>169</v>
      </c>
      <c r="B6" t="s">
        <v>165</v>
      </c>
      <c r="C6" t="s">
        <v>170</v>
      </c>
      <c r="D6" t="s">
        <v>167</v>
      </c>
      <c r="E6" t="s">
        <v>171</v>
      </c>
    </row>
    <row r="7" spans="1:5" x14ac:dyDescent="0.25">
      <c r="A7" s="11" t="s">
        <v>172</v>
      </c>
      <c r="B7" t="s">
        <v>173</v>
      </c>
      <c r="C7" t="s">
        <v>174</v>
      </c>
      <c r="D7" t="s">
        <v>175</v>
      </c>
      <c r="E7" t="s">
        <v>176</v>
      </c>
    </row>
    <row r="8" spans="1:5" x14ac:dyDescent="0.25">
      <c r="A8" s="11" t="s">
        <v>177</v>
      </c>
      <c r="B8" t="s">
        <v>178</v>
      </c>
      <c r="C8" t="s">
        <v>179</v>
      </c>
      <c r="D8" t="s">
        <v>180</v>
      </c>
      <c r="E8" t="s">
        <v>181</v>
      </c>
    </row>
    <row r="9" spans="1:5" x14ac:dyDescent="0.25">
      <c r="A9" s="11" t="s">
        <v>182</v>
      </c>
      <c r="B9" t="s">
        <v>165</v>
      </c>
      <c r="C9" t="s">
        <v>183</v>
      </c>
      <c r="D9" t="s">
        <v>167</v>
      </c>
      <c r="E9" t="s">
        <v>184</v>
      </c>
    </row>
    <row r="10" spans="1:5" x14ac:dyDescent="0.25">
      <c r="A10" s="2" t="s">
        <v>185</v>
      </c>
      <c r="B10" s="2"/>
      <c r="C10" s="2"/>
      <c r="D10" s="2"/>
      <c r="E10" s="2"/>
    </row>
    <row r="12" ht="30" customHeight="1" spans="1:5" x14ac:dyDescent="0.25">
      <c r="A12" s="1" t="s">
        <v>186</v>
      </c>
      <c r="B12" s="1"/>
      <c r="C12" s="1"/>
      <c r="D12" s="1"/>
      <c r="E12" s="1"/>
    </row>
    <row r="13" ht="28" customHeight="1" spans="1:5" x14ac:dyDescent="0.25">
      <c r="A13" s="3" t="s">
        <v>159</v>
      </c>
      <c r="B13" s="3" t="s">
        <v>187</v>
      </c>
      <c r="C13" s="3" t="s">
        <v>188</v>
      </c>
      <c r="D13" s="3" t="s">
        <v>25</v>
      </c>
      <c r="E13" s="3" t="s">
        <v>189</v>
      </c>
    </row>
    <row r="14" spans="1:5" x14ac:dyDescent="0.25">
      <c r="A14" t="s">
        <v>190</v>
      </c>
      <c r="B14" s="8"/>
      <c r="C14" s="5"/>
      <c r="D14" s="6">
        <f>B14*C14</f>
      </c>
      <c r="E14" s="22">
        <f>IF(D19=0,"N/A",D14/D19)</f>
      </c>
    </row>
    <row r="15" spans="1:5" x14ac:dyDescent="0.25">
      <c r="A15" t="s">
        <v>169</v>
      </c>
      <c r="B15" s="8"/>
      <c r="C15" s="5"/>
      <c r="D15" s="6">
        <f>B15*C15</f>
      </c>
      <c r="E15" s="22">
        <f>IF(D19=0,"N/A",D15/D19)</f>
      </c>
    </row>
    <row r="16" spans="1:5" x14ac:dyDescent="0.25">
      <c r="A16" t="s">
        <v>191</v>
      </c>
      <c r="B16" s="8"/>
      <c r="C16" s="5"/>
      <c r="D16" s="6">
        <f>B16*C16</f>
      </c>
      <c r="E16" s="22">
        <f>IF(D19=0,"N/A",D16/D19)</f>
      </c>
    </row>
    <row r="17" spans="1:5" x14ac:dyDescent="0.25">
      <c r="A17" t="s">
        <v>192</v>
      </c>
      <c r="B17" s="8"/>
      <c r="C17" s="5"/>
      <c r="D17" s="6">
        <f>B17*C17</f>
      </c>
      <c r="E17" s="22">
        <f>IF(D19=0,"N/A",D17/D19)</f>
      </c>
    </row>
    <row r="18" spans="1:5" x14ac:dyDescent="0.25">
      <c r="A18" t="s">
        <v>193</v>
      </c>
      <c r="B18" s="8"/>
      <c r="C18" s="5"/>
      <c r="D18" s="6">
        <f>B18*C18</f>
      </c>
      <c r="E18" s="22">
        <f>IF(D19=0,"N/A",D18/D19)</f>
      </c>
    </row>
    <row r="19" spans="1:5" s="12" customFormat="1" x14ac:dyDescent="0.25">
      <c r="A19" s="12" t="s">
        <v>194</v>
      </c>
      <c r="B19" s="23">
        <f>SUM(B14:B18)</f>
      </c>
      <c r="C19" s="12" t="s">
        <v>35</v>
      </c>
      <c r="D19" s="13">
        <f>SUM(D14:D18)</f>
      </c>
      <c r="E19" s="12" t="s">
        <v>35</v>
      </c>
    </row>
    <row r="21" spans="1:5" x14ac:dyDescent="0.25">
      <c r="A21" s="2" t="s">
        <v>195</v>
      </c>
      <c r="B21" s="2"/>
      <c r="C21" s="2"/>
      <c r="D21" s="2"/>
      <c r="E21" s="2"/>
    </row>
  </sheetData>
  <mergeCells count="5">
    <mergeCell ref="A1:E1"/>
    <mergeCell ref="A2:E2"/>
    <mergeCell ref="A10:E10"/>
    <mergeCell ref="A12:E12"/>
    <mergeCell ref="A21:E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0B981"/>
  </sheetPr>
  <dimension ref="A1:E13"/>
  <sheetFormatPr defaultRowHeight="15" outlineLevelRow="0" outlineLevelCol="0" x14ac:dyDescent="55"/>
  <cols>
    <col min="1" max="2" width="28" customWidth="1"/>
    <col min="3" max="4" width="20" customWidth="1"/>
    <col min="5" max="5" width="22" customWidth="1"/>
  </cols>
  <sheetData>
    <row r="1" ht="30" customHeight="1" spans="1:5" x14ac:dyDescent="0.25">
      <c r="A1" s="1" t="s">
        <v>196</v>
      </c>
      <c r="B1" s="1"/>
      <c r="C1" s="1"/>
      <c r="D1" s="1"/>
      <c r="E1" s="1"/>
    </row>
    <row r="2" spans="1:5" x14ac:dyDescent="0.25">
      <c r="A2" s="2" t="s">
        <v>197</v>
      </c>
      <c r="B2" s="2"/>
      <c r="C2" s="2"/>
      <c r="D2" s="2"/>
      <c r="E2" s="2"/>
    </row>
    <row r="4" ht="28" customHeight="1" spans="1:5" x14ac:dyDescent="0.25">
      <c r="A4" s="3" t="s">
        <v>198</v>
      </c>
      <c r="B4" s="3" t="s">
        <v>199</v>
      </c>
      <c r="C4" s="3" t="s">
        <v>200</v>
      </c>
      <c r="D4" s="3" t="s">
        <v>201</v>
      </c>
      <c r="E4" s="3" t="s">
        <v>42</v>
      </c>
    </row>
    <row r="5" spans="1:5" x14ac:dyDescent="0.25">
      <c r="A5" s="11" t="s">
        <v>202</v>
      </c>
      <c r="B5" t="s">
        <v>203</v>
      </c>
      <c r="C5" t="s">
        <v>204</v>
      </c>
      <c r="D5" s="24" t="s">
        <v>205</v>
      </c>
      <c r="E5" s="25"/>
    </row>
    <row r="6" spans="1:5" x14ac:dyDescent="0.25">
      <c r="A6" s="11" t="s">
        <v>206</v>
      </c>
      <c r="B6" t="s">
        <v>207</v>
      </c>
      <c r="C6" t="s">
        <v>208</v>
      </c>
      <c r="D6" s="24" t="s">
        <v>209</v>
      </c>
      <c r="E6" s="25"/>
    </row>
    <row r="7" spans="1:5" x14ac:dyDescent="0.25">
      <c r="A7" s="11" t="s">
        <v>210</v>
      </c>
      <c r="B7" t="s">
        <v>211</v>
      </c>
      <c r="C7" t="s">
        <v>212</v>
      </c>
      <c r="D7" s="24" t="s">
        <v>213</v>
      </c>
      <c r="E7" s="25"/>
    </row>
    <row r="8" spans="1:5" x14ac:dyDescent="0.25">
      <c r="A8" s="11" t="s">
        <v>214</v>
      </c>
      <c r="B8" t="s">
        <v>215</v>
      </c>
      <c r="C8" t="s">
        <v>216</v>
      </c>
      <c r="D8" s="24" t="s">
        <v>217</v>
      </c>
      <c r="E8" s="25"/>
    </row>
    <row r="9" spans="1:5" x14ac:dyDescent="0.25">
      <c r="A9" s="11" t="s">
        <v>218</v>
      </c>
      <c r="B9" t="s">
        <v>219</v>
      </c>
      <c r="C9" t="s">
        <v>220</v>
      </c>
      <c r="D9" s="24" t="s">
        <v>221</v>
      </c>
      <c r="E9" s="25"/>
    </row>
    <row r="10" spans="1:5" x14ac:dyDescent="0.25">
      <c r="A10" s="11" t="s">
        <v>222</v>
      </c>
      <c r="B10" t="s">
        <v>223</v>
      </c>
      <c r="C10" t="s">
        <v>224</v>
      </c>
      <c r="D10" s="24" t="s">
        <v>225</v>
      </c>
      <c r="E10" s="25"/>
    </row>
    <row r="11" spans="1:5" x14ac:dyDescent="0.25">
      <c r="A11" s="11" t="s">
        <v>226</v>
      </c>
      <c r="B11" t="s">
        <v>227</v>
      </c>
      <c r="C11" t="s">
        <v>228</v>
      </c>
      <c r="D11" s="24" t="s">
        <v>229</v>
      </c>
      <c r="E11" s="25"/>
    </row>
    <row r="13" spans="1:5" x14ac:dyDescent="0.25">
      <c r="A13" s="2" t="s">
        <v>230</v>
      </c>
      <c r="B13" s="2"/>
      <c r="C13" s="2"/>
      <c r="D13" s="2"/>
      <c r="E13" s="2"/>
    </row>
  </sheetData>
  <mergeCells count="3">
    <mergeCell ref="A1:E1"/>
    <mergeCell ref="A2:E2"/>
    <mergeCell ref="A13:E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C2626"/>
  </sheetPr>
  <dimension ref="A1:F21"/>
  <sheetFormatPr defaultRowHeight="15" outlineLevelRow="0" outlineLevelCol="0" x14ac:dyDescent="55"/>
  <cols>
    <col min="1" max="1" width="25" customWidth="1"/>
    <col min="2" max="2" width="22" customWidth="1"/>
    <col min="3" max="6" width="18" customWidth="1"/>
  </cols>
  <sheetData>
    <row r="1" ht="30" customHeight="1" spans="1:6" x14ac:dyDescent="0.25">
      <c r="A1" s="1" t="s">
        <v>231</v>
      </c>
      <c r="B1" s="1"/>
      <c r="C1" s="1"/>
      <c r="D1" s="1"/>
      <c r="E1" s="1"/>
      <c r="F1" s="1"/>
    </row>
    <row r="2" spans="1:6" x14ac:dyDescent="0.25">
      <c r="A2" s="2" t="s">
        <v>232</v>
      </c>
      <c r="B2" s="2"/>
      <c r="C2" s="2"/>
      <c r="D2" s="2"/>
      <c r="E2" s="2"/>
      <c r="F2" s="2"/>
    </row>
    <row r="4" ht="28" customHeight="1" spans="1:6" x14ac:dyDescent="0.25">
      <c r="A4" s="3" t="s">
        <v>233</v>
      </c>
      <c r="B4" s="3" t="s">
        <v>234</v>
      </c>
      <c r="C4" s="3" t="s">
        <v>235</v>
      </c>
      <c r="D4" s="3" t="s">
        <v>236</v>
      </c>
      <c r="E4" s="3" t="s">
        <v>237</v>
      </c>
      <c r="F4" s="3" t="s">
        <v>238</v>
      </c>
    </row>
    <row r="5" spans="1:6" x14ac:dyDescent="0.25">
      <c r="A5" t="s">
        <v>35</v>
      </c>
      <c r="B5" t="s">
        <v>35</v>
      </c>
      <c r="C5" s="8"/>
      <c r="D5" s="5"/>
      <c r="E5" s="6">
        <f>C5*D5</f>
      </c>
      <c r="F5" s="6">
        <f>E5*12</f>
      </c>
    </row>
    <row r="6" spans="1:6" x14ac:dyDescent="0.25">
      <c r="A6" t="s">
        <v>35</v>
      </c>
      <c r="B6" t="s">
        <v>35</v>
      </c>
      <c r="C6" s="8"/>
      <c r="D6" s="5"/>
      <c r="E6" s="6">
        <f>C6*D6</f>
      </c>
      <c r="F6" s="6">
        <f>E6*12</f>
      </c>
    </row>
    <row r="7" spans="1:6" x14ac:dyDescent="0.25">
      <c r="A7" t="s">
        <v>35</v>
      </c>
      <c r="B7" t="s">
        <v>35</v>
      </c>
      <c r="C7" s="8"/>
      <c r="D7" s="5"/>
      <c r="E7" s="6">
        <f>C7*D7</f>
      </c>
      <c r="F7" s="6">
        <f>E7*12</f>
      </c>
    </row>
    <row r="8" spans="1:6" x14ac:dyDescent="0.25">
      <c r="A8" t="s">
        <v>35</v>
      </c>
      <c r="B8" t="s">
        <v>35</v>
      </c>
      <c r="C8" s="8"/>
      <c r="D8" s="5"/>
      <c r="E8" s="6">
        <f>C8*D8</f>
      </c>
      <c r="F8" s="6">
        <f>E8*12</f>
      </c>
    </row>
    <row r="9" spans="1:6" x14ac:dyDescent="0.25">
      <c r="A9" t="s">
        <v>35</v>
      </c>
      <c r="B9" t="s">
        <v>35</v>
      </c>
      <c r="C9" s="8"/>
      <c r="D9" s="5"/>
      <c r="E9" s="6">
        <f>C9*D9</f>
      </c>
      <c r="F9" s="6">
        <f>E9*12</f>
      </c>
    </row>
    <row r="10" spans="1:6" x14ac:dyDescent="0.25">
      <c r="A10" t="s">
        <v>35</v>
      </c>
      <c r="B10" t="s">
        <v>35</v>
      </c>
      <c r="C10" s="8"/>
      <c r="D10" s="5"/>
      <c r="E10" s="6">
        <f>C10*D10</f>
      </c>
      <c r="F10" s="6">
        <f>E10*12</f>
      </c>
    </row>
    <row r="11" spans="1:6" x14ac:dyDescent="0.25">
      <c r="A11" t="s">
        <v>35</v>
      </c>
      <c r="B11" t="s">
        <v>35</v>
      </c>
      <c r="C11" s="8"/>
      <c r="D11" s="5"/>
      <c r="E11" s="6">
        <f>C11*D11</f>
      </c>
      <c r="F11" s="6">
        <f>E11*12</f>
      </c>
    </row>
    <row r="12" spans="1:6" x14ac:dyDescent="0.25">
      <c r="A12" t="s">
        <v>35</v>
      </c>
      <c r="B12" t="s">
        <v>35</v>
      </c>
      <c r="C12" s="8"/>
      <c r="D12" s="5"/>
      <c r="E12" s="6">
        <f>C12*D12</f>
      </c>
      <c r="F12" s="6">
        <f>E12*12</f>
      </c>
    </row>
    <row r="13" spans="1:6" x14ac:dyDescent="0.25">
      <c r="A13" t="s">
        <v>35</v>
      </c>
      <c r="B13" t="s">
        <v>35</v>
      </c>
      <c r="C13" s="8"/>
      <c r="D13" s="5"/>
      <c r="E13" s="6">
        <f>C13*D13</f>
      </c>
      <c r="F13" s="6">
        <f>E13*12</f>
      </c>
    </row>
    <row r="14" spans="1:6" x14ac:dyDescent="0.25">
      <c r="A14" t="s">
        <v>35</v>
      </c>
      <c r="B14" t="s">
        <v>35</v>
      </c>
      <c r="C14" s="8"/>
      <c r="D14" s="5"/>
      <c r="E14" s="6">
        <f>C14*D14</f>
      </c>
      <c r="F14" s="6">
        <f>E14*12</f>
      </c>
    </row>
    <row r="15" spans="1:6" s="12" customFormat="1" x14ac:dyDescent="0.25">
      <c r="A15" s="12" t="s">
        <v>35</v>
      </c>
      <c r="B15" s="12" t="s">
        <v>35</v>
      </c>
      <c r="C15" s="12" t="s">
        <v>35</v>
      </c>
      <c r="D15" s="12" t="s">
        <v>35</v>
      </c>
      <c r="E15" s="12" t="s">
        <v>239</v>
      </c>
      <c r="F15" s="26">
        <f>SUM(F5:F14)</f>
      </c>
    </row>
    <row r="17" ht="30" customHeight="1" spans="1:6" x14ac:dyDescent="0.25">
      <c r="A17" s="1" t="s">
        <v>240</v>
      </c>
      <c r="B17" s="1"/>
      <c r="C17" s="1"/>
      <c r="D17" s="1"/>
      <c r="E17" s="1"/>
      <c r="F17" s="1"/>
    </row>
    <row r="18" spans="1:6" x14ac:dyDescent="0.25">
      <c r="A18" s="2" t="s">
        <v>241</v>
      </c>
      <c r="B18" s="2"/>
      <c r="C18" s="2"/>
      <c r="D18" s="2"/>
      <c r="E18" s="2"/>
      <c r="F18" s="2"/>
    </row>
    <row r="19" spans="1:6" x14ac:dyDescent="0.25">
      <c r="A19" s="2" t="s">
        <v>242</v>
      </c>
      <c r="B19" s="2"/>
      <c r="C19" s="2"/>
      <c r="D19" s="2"/>
      <c r="E19" s="2"/>
      <c r="F19" s="2"/>
    </row>
    <row r="20" spans="1:6" x14ac:dyDescent="0.25">
      <c r="A20" s="2" t="s">
        <v>243</v>
      </c>
      <c r="B20" s="2"/>
      <c r="C20" s="2"/>
      <c r="D20" s="2"/>
      <c r="E20" s="2"/>
      <c r="F20" s="2"/>
    </row>
    <row r="21" spans="1:6" x14ac:dyDescent="0.25">
      <c r="A21" s="2" t="s">
        <v>244</v>
      </c>
      <c r="B21" s="2"/>
      <c r="C21" s="2"/>
      <c r="D21" s="2"/>
      <c r="E21" s="2"/>
      <c r="F21" s="2"/>
    </row>
  </sheetData>
  <mergeCells count="7">
    <mergeCell ref="A1:F1"/>
    <mergeCell ref="A2:F2"/>
    <mergeCell ref="A17:F17"/>
    <mergeCell ref="A18:F18"/>
    <mergeCell ref="A19:F19"/>
    <mergeCell ref="A20:F20"/>
    <mergeCell ref="A21:F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D28D9"/>
  </sheetPr>
  <dimension ref="A1:D13"/>
  <sheetFormatPr defaultRowHeight="15" outlineLevelRow="0" outlineLevelCol="0" x14ac:dyDescent="55"/>
  <cols>
    <col min="1" max="1" width="30" customWidth="1"/>
    <col min="2" max="2" width="18" customWidth="1"/>
    <col min="3" max="3" width="20" customWidth="1"/>
    <col min="4" max="4" width="35" customWidth="1"/>
  </cols>
  <sheetData>
    <row r="1" ht="30" customHeight="1" spans="1:4" x14ac:dyDescent="0.25">
      <c r="A1" s="1" t="s">
        <v>245</v>
      </c>
      <c r="B1" s="1"/>
      <c r="C1" s="1"/>
      <c r="D1" s="1"/>
    </row>
    <row r="2" spans="1:4" x14ac:dyDescent="0.25">
      <c r="A2" s="2" t="s">
        <v>246</v>
      </c>
      <c r="B2" s="2"/>
      <c r="C2" s="2"/>
      <c r="D2" s="2"/>
    </row>
    <row r="4" ht="28" customHeight="1" spans="1:4" x14ac:dyDescent="0.25">
      <c r="A4" s="3" t="s">
        <v>247</v>
      </c>
      <c r="B4" s="3" t="s">
        <v>248</v>
      </c>
      <c r="C4" s="3" t="s">
        <v>249</v>
      </c>
      <c r="D4" s="3" t="s">
        <v>250</v>
      </c>
    </row>
    <row r="5" spans="1:4" x14ac:dyDescent="0.25">
      <c r="A5" s="11" t="s">
        <v>251</v>
      </c>
      <c r="B5" t="s">
        <v>252</v>
      </c>
      <c r="C5" s="5"/>
      <c r="D5" s="19" t="s">
        <v>253</v>
      </c>
    </row>
    <row r="6" spans="1:4" x14ac:dyDescent="0.25">
      <c r="A6" s="11" t="s">
        <v>254</v>
      </c>
      <c r="B6" t="s">
        <v>255</v>
      </c>
      <c r="C6" s="5"/>
      <c r="D6" s="19" t="s">
        <v>256</v>
      </c>
    </row>
    <row r="7" spans="1:4" x14ac:dyDescent="0.25">
      <c r="A7" s="11" t="s">
        <v>257</v>
      </c>
      <c r="B7" t="s">
        <v>258</v>
      </c>
      <c r="C7" s="5"/>
      <c r="D7" s="19" t="s">
        <v>259</v>
      </c>
    </row>
    <row r="8" spans="1:4" x14ac:dyDescent="0.25">
      <c r="A8" s="11" t="s">
        <v>260</v>
      </c>
      <c r="B8" t="s">
        <v>258</v>
      </c>
      <c r="C8" s="5"/>
      <c r="D8" s="19" t="s">
        <v>261</v>
      </c>
    </row>
    <row r="9" spans="1:4" x14ac:dyDescent="0.25">
      <c r="A9" s="11" t="s">
        <v>262</v>
      </c>
      <c r="B9" t="s">
        <v>263</v>
      </c>
      <c r="C9" s="5"/>
      <c r="D9" s="19" t="s">
        <v>264</v>
      </c>
    </row>
    <row r="10" spans="1:4" x14ac:dyDescent="0.25">
      <c r="A10" s="11" t="s">
        <v>265</v>
      </c>
      <c r="B10" t="s">
        <v>266</v>
      </c>
      <c r="C10" s="5"/>
      <c r="D10" s="19" t="s">
        <v>267</v>
      </c>
    </row>
    <row r="11" spans="1:4" s="12" customFormat="1" x14ac:dyDescent="0.25">
      <c r="A11" s="12" t="s">
        <v>268</v>
      </c>
      <c r="B11" s="12" t="s">
        <v>35</v>
      </c>
      <c r="C11" s="13">
        <f>SUM(C5:C10)</f>
      </c>
      <c r="D11" s="12" t="s">
        <v>35</v>
      </c>
    </row>
    <row r="13" spans="1:4" x14ac:dyDescent="0.25">
      <c r="A13" s="2" t="s">
        <v>269</v>
      </c>
      <c r="B13" s="2"/>
      <c r="C13" s="2"/>
      <c r="D13" s="2"/>
    </row>
  </sheetData>
  <mergeCells count="3">
    <mergeCell ref="A1:D1"/>
    <mergeCell ref="A2:D2"/>
    <mergeCell ref="A13:D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4748B"/>
  </sheetPr>
  <dimension ref="A1:B17"/>
  <sheetFormatPr defaultRowHeight="15" outlineLevelRow="0" outlineLevelCol="0" x14ac:dyDescent="55"/>
  <cols>
    <col min="1" max="1" width="35" customWidth="1"/>
    <col min="2" max="2" width="55" customWidth="1"/>
  </cols>
  <sheetData>
    <row r="1" ht="30" customHeight="1" spans="1:2" x14ac:dyDescent="0.25">
      <c r="A1" s="1" t="s">
        <v>270</v>
      </c>
      <c r="B1" s="1"/>
    </row>
    <row r="2" spans="1:2" x14ac:dyDescent="0.25">
      <c r="A2" s="2" t="s">
        <v>271</v>
      </c>
      <c r="B2" s="2"/>
    </row>
    <row r="4" ht="28" customHeight="1" spans="1:2" x14ac:dyDescent="0.25">
      <c r="A4" s="3" t="s">
        <v>272</v>
      </c>
      <c r="B4" s="3" t="s">
        <v>273</v>
      </c>
    </row>
    <row r="5" spans="1:2" x14ac:dyDescent="0.25">
      <c r="A5" s="11" t="s">
        <v>274</v>
      </c>
      <c r="B5" s="27" t="s">
        <v>275</v>
      </c>
    </row>
    <row r="6" spans="1:2" x14ac:dyDescent="0.25">
      <c r="A6" s="11" t="s">
        <v>276</v>
      </c>
      <c r="B6" s="27" t="s">
        <v>277</v>
      </c>
    </row>
    <row r="7" spans="1:2" x14ac:dyDescent="0.25">
      <c r="A7" s="11" t="s">
        <v>102</v>
      </c>
      <c r="B7" s="27" t="s">
        <v>278</v>
      </c>
    </row>
    <row r="8" spans="1:2" x14ac:dyDescent="0.25">
      <c r="A8" s="11" t="s">
        <v>279</v>
      </c>
      <c r="B8" s="27" t="s">
        <v>280</v>
      </c>
    </row>
    <row r="9" spans="1:2" x14ac:dyDescent="0.25">
      <c r="A9" s="11" t="s">
        <v>206</v>
      </c>
      <c r="B9" s="27" t="s">
        <v>281</v>
      </c>
    </row>
    <row r="10" spans="1:2" x14ac:dyDescent="0.25">
      <c r="A10" s="11" t="s">
        <v>282</v>
      </c>
      <c r="B10" s="27" t="s">
        <v>283</v>
      </c>
    </row>
    <row r="11" spans="1:2" x14ac:dyDescent="0.25">
      <c r="A11" s="11" t="s">
        <v>210</v>
      </c>
      <c r="B11" s="27" t="s">
        <v>284</v>
      </c>
    </row>
    <row r="12" spans="1:2" x14ac:dyDescent="0.25">
      <c r="A12" s="11" t="s">
        <v>285</v>
      </c>
      <c r="B12" s="27" t="s">
        <v>286</v>
      </c>
    </row>
    <row r="13" spans="1:2" x14ac:dyDescent="0.25">
      <c r="A13" s="11" t="s">
        <v>287</v>
      </c>
      <c r="B13" s="27" t="s">
        <v>288</v>
      </c>
    </row>
    <row r="14" spans="1:2" x14ac:dyDescent="0.25">
      <c r="A14" s="11" t="s">
        <v>289</v>
      </c>
      <c r="B14" s="27" t="s">
        <v>290</v>
      </c>
    </row>
    <row r="15" spans="1:2" x14ac:dyDescent="0.25">
      <c r="A15" s="11" t="s">
        <v>291</v>
      </c>
      <c r="B15" s="27" t="s">
        <v>292</v>
      </c>
    </row>
    <row r="16" spans="1:2" x14ac:dyDescent="0.25">
      <c r="A16" s="11" t="s">
        <v>293</v>
      </c>
      <c r="B16" s="27" t="s">
        <v>294</v>
      </c>
    </row>
    <row r="17" spans="1:2" x14ac:dyDescent="0.25">
      <c r="A17" s="2" t="s">
        <v>295</v>
      </c>
      <c r="B17" s="2"/>
    </row>
  </sheetData>
  <mergeCells count="3">
    <mergeCell ref="A1:B1"/>
    <mergeCell ref="A2:B2"/>
    <mergeCell ref="A17:B1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Core Savings</vt:lpstr>
      <vt:lpstr>Net Savings</vt:lpstr>
      <vt:lpstr>ROI Projection</vt:lpstr>
      <vt:lpstr>Contract Pharmacy</vt:lpstr>
      <vt:lpstr>Payer Mix</vt:lpstr>
      <vt:lpstr>KPI Dashboard</vt:lpstr>
      <vt:lpstr>Mfr Restrictions</vt:lpstr>
      <vt:lpstr>Reinvestment</vt:lpstr>
      <vt:lpstr>Formula Reference</vt:lpstr>
    </vt:vector>
  </TitlesOfParts>
  <Company>Quantum 5D Consulting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Adetoro Oriaifo, PharmD, MBA, FACHE, 340B ACE, CHCEF</dc:creator>
  <dc:title/>
  <dc:subject/>
  <dc:description/>
  <cp:keywords/>
  <cp:category/>
  <cp:lastModifiedBy>Unknown</cp:lastModifiedBy>
  <dcterms:created xsi:type="dcterms:W3CDTF">2026-07-24T15:53:32Z</dcterms:created>
  <dcterms:modified xsi:type="dcterms:W3CDTF">2026-07-24T15:53:32Z</dcterms:modified>
</cp:coreProperties>
</file>